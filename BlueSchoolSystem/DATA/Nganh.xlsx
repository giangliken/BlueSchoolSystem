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i Lieu Hoc Tap\Do An Chuyen Nganh\Du lieu mau\"/>
    </mc:Choice>
  </mc:AlternateContent>
  <xr:revisionPtr revIDLastSave="0" documentId="8_{AEE10B9C-C287-4AED-9720-82873B439A89}" xr6:coauthVersionLast="47" xr6:coauthVersionMax="47" xr10:uidLastSave="{00000000-0000-0000-0000-000000000000}"/>
  <bookViews>
    <workbookView xWindow="-108" yWindow="-108" windowWidth="23256" windowHeight="12456" xr2:uid="{888B81FE-E209-4CEC-AA48-7D8B6A60CE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2" i="1"/>
  <c r="E32" i="1"/>
  <c r="E25" i="1"/>
  <c r="E24" i="1"/>
  <c r="E23" i="1"/>
  <c r="E22" i="1"/>
  <c r="E21" i="1"/>
  <c r="E16" i="1"/>
  <c r="E9" i="1"/>
  <c r="E8" i="1"/>
  <c r="E7" i="1"/>
  <c r="E6" i="1"/>
  <c r="E5" i="1"/>
  <c r="E3" i="1"/>
  <c r="E4" i="1"/>
  <c r="E10" i="1"/>
  <c r="E11" i="1"/>
  <c r="E12" i="1"/>
  <c r="E13" i="1"/>
  <c r="E14" i="1"/>
  <c r="E15" i="1"/>
  <c r="E17" i="1"/>
  <c r="E18" i="1"/>
  <c r="E19" i="1"/>
  <c r="E20" i="1"/>
  <c r="E26" i="1"/>
  <c r="E27" i="1"/>
  <c r="E28" i="1"/>
  <c r="E29" i="1"/>
  <c r="E30" i="1"/>
  <c r="E31" i="1"/>
  <c r="E33" i="1"/>
  <c r="E34" i="1"/>
  <c r="E35" i="1"/>
  <c r="E36" i="1"/>
  <c r="E2" i="1"/>
</calcChain>
</file>

<file path=xl/sharedStrings.xml><?xml version="1.0" encoding="utf-8"?>
<sst xmlns="http://schemas.openxmlformats.org/spreadsheetml/2006/main" count="123" uniqueCount="86">
  <si>
    <t>STT</t>
  </si>
  <si>
    <t>Ngành</t>
  </si>
  <si>
    <t>Mã ngành</t>
  </si>
  <si>
    <t>Công nghệ thông tin</t>
  </si>
  <si>
    <t>CNTT</t>
  </si>
  <si>
    <t>An toàn thông tin</t>
  </si>
  <si>
    <t>Khoa học máy tính</t>
  </si>
  <si>
    <t>Trí tuệ nhân tạo</t>
  </si>
  <si>
    <t>Khoa học dữ liệu (Data Science)</t>
  </si>
  <si>
    <t>Hệ thống thông tin quản lý</t>
  </si>
  <si>
    <t>HTTTQL</t>
  </si>
  <si>
    <t>Robot &amp; trí tuệ nhân tạo</t>
  </si>
  <si>
    <t>KTHUTECH</t>
  </si>
  <si>
    <t>Công nghệ kỹ thuật ô tô</t>
  </si>
  <si>
    <t>Công nghệ ô tô điện</t>
  </si>
  <si>
    <t>Kỹ thuật máy tính</t>
  </si>
  <si>
    <t>Kỹ thuật nhiệt</t>
  </si>
  <si>
    <t>Kỹ thuật cơ khí</t>
  </si>
  <si>
    <t>Kỹ thuật cơ điện tử</t>
  </si>
  <si>
    <t>Kỹ thuật điện</t>
  </si>
  <si>
    <t>Kỹ thuật điện tử - viễn thông</t>
  </si>
  <si>
    <t>Kỹ thuật điều khiển và tự động hóa</t>
  </si>
  <si>
    <t>Kỹ thuật xây dựng</t>
  </si>
  <si>
    <t>XD</t>
  </si>
  <si>
    <t>Quản lý xây dựng</t>
  </si>
  <si>
    <t>Tài chính - Ngân hàng</t>
  </si>
  <si>
    <t>TCTM</t>
  </si>
  <si>
    <t>Kế toán</t>
  </si>
  <si>
    <t>Công nghệ tài chính</t>
  </si>
  <si>
    <t>Quản trị kinh doanh</t>
  </si>
  <si>
    <t>QTKD</t>
  </si>
  <si>
    <t>Digital Marketing</t>
  </si>
  <si>
    <t>Marketing</t>
  </si>
  <si>
    <t>Kinh tế số</t>
  </si>
  <si>
    <t>Kinh doanh thương mại</t>
  </si>
  <si>
    <t>Thương mại điện tử</t>
  </si>
  <si>
    <t>Kinh doanh quốc tế</t>
  </si>
  <si>
    <t>Kinh tế quốc tế</t>
  </si>
  <si>
    <t>Bất động sản</t>
  </si>
  <si>
    <t>Logistics &amp; quản lý chuỗi cung ứng</t>
  </si>
  <si>
    <t>Tâm lý học</t>
  </si>
  <si>
    <t>KHXHNV</t>
  </si>
  <si>
    <t>Quan hệ công chúng</t>
  </si>
  <si>
    <t>Quản trị nhân lực</t>
  </si>
  <si>
    <t>Quản trị khách sạn</t>
  </si>
  <si>
    <t>QTDL</t>
  </si>
  <si>
    <t>Mã khoa</t>
  </si>
  <si>
    <t>Tên khoa</t>
  </si>
  <si>
    <t>Mô tả</t>
  </si>
  <si>
    <t>Khoa Công nghệ thông tin</t>
  </si>
  <si>
    <t>Khoa Tài chính - Thương mại</t>
  </si>
  <si>
    <t>KTMT</t>
  </si>
  <si>
    <t>Khoa Kiến trúc - Mỹ thuật</t>
  </si>
  <si>
    <t>Khoa Quản trị Kinh doanh</t>
  </si>
  <si>
    <t>Khoa QT Du lịch - Nhà hàng - Khách sạn</t>
  </si>
  <si>
    <t>TA</t>
  </si>
  <si>
    <t>Khoa Tiếng Anh</t>
  </si>
  <si>
    <t>NBH</t>
  </si>
  <si>
    <t>Khoa Nhật Bản học</t>
  </si>
  <si>
    <t>Khoa Xây dựng</t>
  </si>
  <si>
    <t>LUAT</t>
  </si>
  <si>
    <t>Khoa Luật</t>
  </si>
  <si>
    <t>DUOC</t>
  </si>
  <si>
    <t>Khoa Dược</t>
  </si>
  <si>
    <t>Khoa Hệ thống thông tin quản lý</t>
  </si>
  <si>
    <t>TTTK</t>
  </si>
  <si>
    <t>Khoa Truyền thông - Thiết kế</t>
  </si>
  <si>
    <t>Viện Kỹ thuật HUTECH</t>
  </si>
  <si>
    <t>KHUDHUTECH</t>
  </si>
  <si>
    <t>Viện Khoa học ứng dụng HUTECH</t>
  </si>
  <si>
    <t>Viện Khoa học Xã hội và Nhân văn</t>
  </si>
  <si>
    <t>DTQT</t>
  </si>
  <si>
    <t>Viện Đào tạo Quốc tế HUTECH</t>
  </si>
  <si>
    <t>CNVN</t>
  </si>
  <si>
    <t>Viện Công nghệ Việt - Nhật</t>
  </si>
  <si>
    <t>CNHAN</t>
  </si>
  <si>
    <t>Viện Công nghệ Việt - Hàn</t>
  </si>
  <si>
    <t>TTHNNKN</t>
  </si>
  <si>
    <t>Trung tâm Tin học - Ngoại ngữ - Kỹ năng</t>
  </si>
  <si>
    <t>GDCTQP</t>
  </si>
  <si>
    <t>TT Giáo dục chính trị - Quốc phòng</t>
  </si>
  <si>
    <t>DTXA</t>
  </si>
  <si>
    <t>Trung tâm Đào tạo từ xa</t>
  </si>
  <si>
    <t>VPDDT</t>
  </si>
  <si>
    <t>Văn phòng Đảng - Đoàn thể</t>
  </si>
  <si>
    <t>Mã khoa (Id)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</si>
</sst>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B1CC-2D74-4168-A62F-12DDF9F62B39}">
  <dimension ref="A1:N36"/>
  <sheetViews>
    <sheetView tabSelected="1" topLeftCell="A26" workbookViewId="0">
      <selection activeCell="G41" sqref="G41"/>
    </sheetView>
  </sheetViews>
  <sheetFormatPr defaultRowHeight="15" x14ac:dyDescent="0.25"/>
  <cols>
    <col min="1" max="1" width="4.1796875" bestFit="1" customWidth="1"/>
    <col min="2" max="2" width="28.7265625" bestFit="1" customWidth="1"/>
    <col min="3" max="3" width="8.6328125" bestFit="1" customWidth="1"/>
    <col min="4" max="4" width="10.1796875" bestFit="1" customWidth="1"/>
    <col min="5" max="5" width="11.08984375" bestFit="1" customWidth="1"/>
    <col min="6" max="6" width="58.36328125" bestFit="1" customWidth="1"/>
    <col min="13" max="13" width="33.816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46</v>
      </c>
      <c r="E1" t="s">
        <v>85</v>
      </c>
      <c r="K1" t="s">
        <v>0</v>
      </c>
      <c r="L1" t="s">
        <v>46</v>
      </c>
      <c r="M1" t="s">
        <v>47</v>
      </c>
      <c r="N1" t="s">
        <v>48</v>
      </c>
    </row>
    <row r="2" spans="1:14" x14ac:dyDescent="0.25">
      <c r="A2">
        <v>1</v>
      </c>
      <c r="B2" t="s">
        <v>3</v>
      </c>
      <c r="C2">
        <v>7480201</v>
      </c>
      <c r="D2" t="s">
        <v>4</v>
      </c>
      <c r="E2">
        <f>INDEX($K$2:$K$23, MATCH(D2, $L$2:$L$23, 0))</f>
        <v>1</v>
      </c>
      <c r="F2" t="str">
        <f>"new Major { MaNganh ="""&amp;C2&amp;""", TenNganh = """&amp;B2&amp;""", KhoaId = "&amp;E2&amp;"},"</f>
        <v>new Major { MaNganh ="7480201", TenNganh = "Công nghệ thông tin", KhoaId = 1},</v>
      </c>
      <c r="K2">
        <v>1</v>
      </c>
      <c r="L2" t="s">
        <v>4</v>
      </c>
      <c r="M2" t="s">
        <v>49</v>
      </c>
    </row>
    <row r="3" spans="1:14" x14ac:dyDescent="0.25">
      <c r="A3">
        <v>2</v>
      </c>
      <c r="B3" t="s">
        <v>5</v>
      </c>
      <c r="C3">
        <v>7480202</v>
      </c>
      <c r="D3" t="s">
        <v>4</v>
      </c>
      <c r="E3">
        <f t="shared" ref="D3:E36" si="0">INDEX($K$2:$K$23, MATCH(D3, $L$2:$L$23, 0))</f>
        <v>1</v>
      </c>
      <c r="F3" t="str">
        <f t="shared" ref="F3:F36" si="1">"new Major { MaNganh ="""&amp;C3&amp;""", TenNganh = """&amp;B3&amp;""", KhoaId = "&amp;E3&amp;"},"</f>
        <v>new Major { MaNganh ="7480202", TenNganh = "An toàn thông tin", KhoaId = 1},</v>
      </c>
      <c r="K3">
        <v>2</v>
      </c>
      <c r="L3" t="s">
        <v>26</v>
      </c>
      <c r="M3" t="s">
        <v>50</v>
      </c>
    </row>
    <row r="4" spans="1:14" x14ac:dyDescent="0.25">
      <c r="A4">
        <v>3</v>
      </c>
      <c r="B4" t="s">
        <v>6</v>
      </c>
      <c r="C4">
        <v>7480101</v>
      </c>
      <c r="D4" t="s">
        <v>4</v>
      </c>
      <c r="E4">
        <f t="shared" si="0"/>
        <v>1</v>
      </c>
      <c r="F4" t="str">
        <f t="shared" si="1"/>
        <v>new Major { MaNganh ="7480101", TenNganh = "Khoa học máy tính", KhoaId = 1},</v>
      </c>
      <c r="K4">
        <v>3</v>
      </c>
      <c r="L4" t="s">
        <v>51</v>
      </c>
      <c r="M4" t="s">
        <v>52</v>
      </c>
    </row>
    <row r="5" spans="1:14" x14ac:dyDescent="0.25">
      <c r="A5">
        <v>4</v>
      </c>
      <c r="B5" t="s">
        <v>7</v>
      </c>
      <c r="C5">
        <v>7480107</v>
      </c>
      <c r="D5" t="s">
        <v>4</v>
      </c>
      <c r="E5">
        <f t="shared" si="0"/>
        <v>1</v>
      </c>
      <c r="F5" t="str">
        <f t="shared" si="1"/>
        <v>new Major { MaNganh ="7480107", TenNganh = "Trí tuệ nhân tạo", KhoaId = 1},</v>
      </c>
      <c r="K5">
        <v>4</v>
      </c>
      <c r="L5" t="s">
        <v>30</v>
      </c>
      <c r="M5" t="s">
        <v>53</v>
      </c>
    </row>
    <row r="6" spans="1:14" x14ac:dyDescent="0.25">
      <c r="A6">
        <v>5</v>
      </c>
      <c r="B6" t="s">
        <v>8</v>
      </c>
      <c r="C6">
        <v>7460108</v>
      </c>
      <c r="D6" t="s">
        <v>4</v>
      </c>
      <c r="E6">
        <f t="shared" si="0"/>
        <v>1</v>
      </c>
      <c r="F6" t="str">
        <f t="shared" si="1"/>
        <v>new Major { MaNganh ="7460108", TenNganh = "Khoa học dữ liệu (Data Science)", KhoaId = 1},</v>
      </c>
      <c r="K6">
        <v>5</v>
      </c>
      <c r="L6" t="s">
        <v>45</v>
      </c>
      <c r="M6" t="s">
        <v>54</v>
      </c>
    </row>
    <row r="7" spans="1:14" x14ac:dyDescent="0.25">
      <c r="A7">
        <v>6</v>
      </c>
      <c r="B7" t="s">
        <v>9</v>
      </c>
      <c r="C7">
        <v>7340405</v>
      </c>
      <c r="D7" t="s">
        <v>10</v>
      </c>
      <c r="E7">
        <f t="shared" si="0"/>
        <v>11</v>
      </c>
      <c r="F7" t="str">
        <f t="shared" si="1"/>
        <v>new Major { MaNganh ="7340405", TenNganh = "Hệ thống thông tin quản lý", KhoaId = 11},</v>
      </c>
      <c r="K7">
        <v>6</v>
      </c>
      <c r="L7" t="s">
        <v>55</v>
      </c>
      <c r="M7" t="s">
        <v>56</v>
      </c>
    </row>
    <row r="8" spans="1:14" x14ac:dyDescent="0.25">
      <c r="A8">
        <v>7</v>
      </c>
      <c r="B8" t="s">
        <v>11</v>
      </c>
      <c r="C8">
        <v>7510209</v>
      </c>
      <c r="D8" t="s">
        <v>12</v>
      </c>
      <c r="E8">
        <f t="shared" si="0"/>
        <v>13</v>
      </c>
      <c r="F8" t="str">
        <f t="shared" si="1"/>
        <v>new Major { MaNganh ="7510209", TenNganh = "Robot &amp; trí tuệ nhân tạo", KhoaId = 13},</v>
      </c>
      <c r="K8">
        <v>7</v>
      </c>
      <c r="L8" t="s">
        <v>57</v>
      </c>
      <c r="M8" t="s">
        <v>58</v>
      </c>
    </row>
    <row r="9" spans="1:14" x14ac:dyDescent="0.25">
      <c r="A9">
        <v>8</v>
      </c>
      <c r="B9" t="s">
        <v>13</v>
      </c>
      <c r="C9">
        <v>7510205</v>
      </c>
      <c r="D9" t="s">
        <v>12</v>
      </c>
      <c r="E9">
        <f t="shared" si="0"/>
        <v>13</v>
      </c>
      <c r="F9" t="str">
        <f t="shared" si="1"/>
        <v>new Major { MaNganh ="7510205", TenNganh = "Công nghệ kỹ thuật ô tô", KhoaId = 13},</v>
      </c>
      <c r="K9">
        <v>8</v>
      </c>
      <c r="L9" t="s">
        <v>23</v>
      </c>
      <c r="M9" t="s">
        <v>59</v>
      </c>
    </row>
    <row r="10" spans="1:14" x14ac:dyDescent="0.25">
      <c r="A10">
        <v>9</v>
      </c>
      <c r="B10" t="s">
        <v>14</v>
      </c>
      <c r="C10">
        <v>7520141</v>
      </c>
      <c r="D10" t="s">
        <v>12</v>
      </c>
      <c r="E10">
        <f t="shared" si="0"/>
        <v>13</v>
      </c>
      <c r="F10" t="str">
        <f t="shared" si="1"/>
        <v>new Major { MaNganh ="7520141", TenNganh = "Công nghệ ô tô điện", KhoaId = 13},</v>
      </c>
      <c r="K10">
        <v>9</v>
      </c>
      <c r="L10" t="s">
        <v>60</v>
      </c>
      <c r="M10" t="s">
        <v>61</v>
      </c>
    </row>
    <row r="11" spans="1:14" x14ac:dyDescent="0.25">
      <c r="A11">
        <v>10</v>
      </c>
      <c r="B11" t="s">
        <v>15</v>
      </c>
      <c r="C11">
        <v>7480106</v>
      </c>
      <c r="D11" t="s">
        <v>12</v>
      </c>
      <c r="E11">
        <f t="shared" si="0"/>
        <v>13</v>
      </c>
      <c r="F11" t="str">
        <f t="shared" si="1"/>
        <v>new Major { MaNganh ="7480106", TenNganh = "Kỹ thuật máy tính", KhoaId = 13},</v>
      </c>
      <c r="K11">
        <v>10</v>
      </c>
      <c r="L11" t="s">
        <v>62</v>
      </c>
      <c r="M11" t="s">
        <v>63</v>
      </c>
    </row>
    <row r="12" spans="1:14" x14ac:dyDescent="0.25">
      <c r="A12">
        <v>11</v>
      </c>
      <c r="B12" t="s">
        <v>16</v>
      </c>
      <c r="C12">
        <v>7510206</v>
      </c>
      <c r="D12" t="s">
        <v>12</v>
      </c>
      <c r="E12">
        <f t="shared" si="0"/>
        <v>13</v>
      </c>
      <c r="F12" t="str">
        <f t="shared" si="1"/>
        <v>new Major { MaNganh ="7510206", TenNganh = "Kỹ thuật nhiệt", KhoaId = 13},</v>
      </c>
      <c r="K12">
        <v>11</v>
      </c>
      <c r="L12" t="s">
        <v>10</v>
      </c>
      <c r="M12" t="s">
        <v>64</v>
      </c>
    </row>
    <row r="13" spans="1:14" x14ac:dyDescent="0.25">
      <c r="A13">
        <v>12</v>
      </c>
      <c r="B13" t="s">
        <v>17</v>
      </c>
      <c r="C13">
        <v>7520103</v>
      </c>
      <c r="D13" t="s">
        <v>12</v>
      </c>
      <c r="E13">
        <f t="shared" si="0"/>
        <v>13</v>
      </c>
      <c r="F13" t="str">
        <f t="shared" si="1"/>
        <v>new Major { MaNganh ="7520103", TenNganh = "Kỹ thuật cơ khí", KhoaId = 13},</v>
      </c>
      <c r="K13">
        <v>12</v>
      </c>
      <c r="L13" t="s">
        <v>65</v>
      </c>
      <c r="M13" t="s">
        <v>66</v>
      </c>
    </row>
    <row r="14" spans="1:14" x14ac:dyDescent="0.25">
      <c r="A14">
        <v>13</v>
      </c>
      <c r="B14" t="s">
        <v>18</v>
      </c>
      <c r="C14">
        <v>7520114</v>
      </c>
      <c r="D14" t="s">
        <v>12</v>
      </c>
      <c r="E14">
        <f t="shared" si="0"/>
        <v>13</v>
      </c>
      <c r="F14" t="str">
        <f t="shared" si="1"/>
        <v>new Major { MaNganh ="7520114", TenNganh = "Kỹ thuật cơ điện tử", KhoaId = 13},</v>
      </c>
      <c r="K14">
        <v>13</v>
      </c>
      <c r="L14" t="s">
        <v>12</v>
      </c>
      <c r="M14" t="s">
        <v>67</v>
      </c>
    </row>
    <row r="15" spans="1:14" x14ac:dyDescent="0.25">
      <c r="A15">
        <v>14</v>
      </c>
      <c r="B15" t="s">
        <v>19</v>
      </c>
      <c r="C15">
        <v>7520201</v>
      </c>
      <c r="D15" t="s">
        <v>12</v>
      </c>
      <c r="E15">
        <f t="shared" si="0"/>
        <v>13</v>
      </c>
      <c r="F15" t="str">
        <f t="shared" si="1"/>
        <v>new Major { MaNganh ="7520201", TenNganh = "Kỹ thuật điện", KhoaId = 13},</v>
      </c>
      <c r="K15">
        <v>14</v>
      </c>
      <c r="L15" t="s">
        <v>68</v>
      </c>
      <c r="M15" t="s">
        <v>69</v>
      </c>
    </row>
    <row r="16" spans="1:14" x14ac:dyDescent="0.25">
      <c r="A16">
        <v>15</v>
      </c>
      <c r="B16" t="s">
        <v>20</v>
      </c>
      <c r="C16">
        <v>7520207</v>
      </c>
      <c r="D16" t="s">
        <v>12</v>
      </c>
      <c r="E16">
        <f t="shared" si="0"/>
        <v>13</v>
      </c>
      <c r="F16" t="str">
        <f t="shared" si="1"/>
        <v>new Major { MaNganh ="7520207", TenNganh = "Kỹ thuật điện tử - viễn thông", KhoaId = 13},</v>
      </c>
      <c r="K16">
        <v>15</v>
      </c>
      <c r="L16" t="s">
        <v>41</v>
      </c>
      <c r="M16" t="s">
        <v>70</v>
      </c>
    </row>
    <row r="17" spans="1:13" x14ac:dyDescent="0.25">
      <c r="A17">
        <v>16</v>
      </c>
      <c r="B17" t="s">
        <v>21</v>
      </c>
      <c r="C17">
        <v>7520216</v>
      </c>
      <c r="D17" t="s">
        <v>12</v>
      </c>
      <c r="E17">
        <f t="shared" si="0"/>
        <v>13</v>
      </c>
      <c r="F17" t="str">
        <f t="shared" si="1"/>
        <v>new Major { MaNganh ="7520216", TenNganh = "Kỹ thuật điều khiển và tự động hóa", KhoaId = 13},</v>
      </c>
      <c r="K17">
        <v>16</v>
      </c>
      <c r="L17" t="s">
        <v>71</v>
      </c>
      <c r="M17" t="s">
        <v>72</v>
      </c>
    </row>
    <row r="18" spans="1:13" x14ac:dyDescent="0.25">
      <c r="A18">
        <v>17</v>
      </c>
      <c r="B18" t="s">
        <v>22</v>
      </c>
      <c r="C18">
        <v>7580201</v>
      </c>
      <c r="D18" t="s">
        <v>23</v>
      </c>
      <c r="E18">
        <f t="shared" si="0"/>
        <v>8</v>
      </c>
      <c r="F18" t="str">
        <f t="shared" si="1"/>
        <v>new Major { MaNganh ="7580201", TenNganh = "Kỹ thuật xây dựng", KhoaId = 8},</v>
      </c>
      <c r="K18">
        <v>17</v>
      </c>
      <c r="L18" t="s">
        <v>73</v>
      </c>
      <c r="M18" t="s">
        <v>74</v>
      </c>
    </row>
    <row r="19" spans="1:13" x14ac:dyDescent="0.25">
      <c r="A19">
        <v>18</v>
      </c>
      <c r="B19" t="s">
        <v>24</v>
      </c>
      <c r="C19">
        <v>7580302</v>
      </c>
      <c r="D19" t="s">
        <v>23</v>
      </c>
      <c r="E19">
        <f t="shared" si="0"/>
        <v>8</v>
      </c>
      <c r="F19" t="str">
        <f t="shared" si="1"/>
        <v>new Major { MaNganh ="7580302", TenNganh = "Quản lý xây dựng", KhoaId = 8},</v>
      </c>
      <c r="K19">
        <v>18</v>
      </c>
      <c r="L19" t="s">
        <v>75</v>
      </c>
      <c r="M19" t="s">
        <v>76</v>
      </c>
    </row>
    <row r="20" spans="1:13" x14ac:dyDescent="0.25">
      <c r="A20">
        <v>19</v>
      </c>
      <c r="B20" t="s">
        <v>25</v>
      </c>
      <c r="C20">
        <v>7340201</v>
      </c>
      <c r="D20" t="s">
        <v>26</v>
      </c>
      <c r="E20">
        <f t="shared" si="0"/>
        <v>2</v>
      </c>
      <c r="F20" t="str">
        <f t="shared" si="1"/>
        <v>new Major { MaNganh ="7340201", TenNganh = "Tài chính - Ngân hàng", KhoaId = 2},</v>
      </c>
      <c r="K20">
        <v>19</v>
      </c>
      <c r="L20" t="s">
        <v>77</v>
      </c>
      <c r="M20" t="s">
        <v>78</v>
      </c>
    </row>
    <row r="21" spans="1:13" x14ac:dyDescent="0.25">
      <c r="A21">
        <v>20</v>
      </c>
      <c r="B21" t="s">
        <v>27</v>
      </c>
      <c r="C21">
        <v>7340301</v>
      </c>
      <c r="D21" t="s">
        <v>26</v>
      </c>
      <c r="E21">
        <f t="shared" si="0"/>
        <v>2</v>
      </c>
      <c r="F21" t="str">
        <f t="shared" si="1"/>
        <v>new Major { MaNganh ="7340301", TenNganh = "Kế toán", KhoaId = 2},</v>
      </c>
      <c r="K21">
        <v>20</v>
      </c>
      <c r="L21" t="s">
        <v>79</v>
      </c>
      <c r="M21" t="s">
        <v>80</v>
      </c>
    </row>
    <row r="22" spans="1:13" x14ac:dyDescent="0.25">
      <c r="A22">
        <v>21</v>
      </c>
      <c r="B22" t="s">
        <v>28</v>
      </c>
      <c r="C22">
        <v>7340205</v>
      </c>
      <c r="D22" t="s">
        <v>26</v>
      </c>
      <c r="E22">
        <f t="shared" si="0"/>
        <v>2</v>
      </c>
      <c r="F22" t="str">
        <f t="shared" si="1"/>
        <v>new Major { MaNganh ="7340205", TenNganh = "Công nghệ tài chính", KhoaId = 2},</v>
      </c>
      <c r="K22">
        <v>21</v>
      </c>
      <c r="L22" t="s">
        <v>81</v>
      </c>
      <c r="M22" t="s">
        <v>82</v>
      </c>
    </row>
    <row r="23" spans="1:13" x14ac:dyDescent="0.25">
      <c r="A23">
        <v>22</v>
      </c>
      <c r="B23" t="s">
        <v>29</v>
      </c>
      <c r="C23">
        <v>7340101</v>
      </c>
      <c r="D23" t="s">
        <v>30</v>
      </c>
      <c r="E23">
        <f t="shared" si="0"/>
        <v>4</v>
      </c>
      <c r="F23" t="str">
        <f t="shared" si="1"/>
        <v>new Major { MaNganh ="7340101", TenNganh = "Quản trị kinh doanh", KhoaId = 4},</v>
      </c>
      <c r="K23">
        <v>22</v>
      </c>
      <c r="L23" t="s">
        <v>83</v>
      </c>
      <c r="M23" t="s">
        <v>84</v>
      </c>
    </row>
    <row r="24" spans="1:13" x14ac:dyDescent="0.25">
      <c r="A24">
        <v>23</v>
      </c>
      <c r="B24" t="s">
        <v>31</v>
      </c>
      <c r="C24">
        <v>7340114</v>
      </c>
      <c r="D24" t="s">
        <v>30</v>
      </c>
      <c r="E24">
        <f t="shared" si="0"/>
        <v>4</v>
      </c>
      <c r="F24" t="str">
        <f t="shared" si="1"/>
        <v>new Major { MaNganh ="7340114", TenNganh = "Digital Marketing", KhoaId = 4},</v>
      </c>
    </row>
    <row r="25" spans="1:13" x14ac:dyDescent="0.25">
      <c r="A25">
        <v>24</v>
      </c>
      <c r="B25" t="s">
        <v>32</v>
      </c>
      <c r="C25">
        <v>7340115</v>
      </c>
      <c r="D25" t="s">
        <v>26</v>
      </c>
      <c r="E25">
        <f t="shared" si="0"/>
        <v>2</v>
      </c>
      <c r="F25" t="str">
        <f t="shared" si="1"/>
        <v>new Major { MaNganh ="7340115", TenNganh = "Marketing", KhoaId = 2},</v>
      </c>
    </row>
    <row r="26" spans="1:13" x14ac:dyDescent="0.25">
      <c r="A26">
        <v>25</v>
      </c>
      <c r="B26" t="s">
        <v>33</v>
      </c>
      <c r="C26">
        <v>7310109</v>
      </c>
      <c r="D26" t="s">
        <v>26</v>
      </c>
      <c r="E26">
        <f t="shared" si="0"/>
        <v>2</v>
      </c>
      <c r="F26" t="str">
        <f t="shared" si="1"/>
        <v>new Major { MaNganh ="7310109", TenNganh = "Kinh tế số", KhoaId = 2},</v>
      </c>
    </row>
    <row r="27" spans="1:13" x14ac:dyDescent="0.25">
      <c r="A27">
        <v>26</v>
      </c>
      <c r="B27" t="s">
        <v>34</v>
      </c>
      <c r="C27">
        <v>7340121</v>
      </c>
      <c r="D27" t="s">
        <v>26</v>
      </c>
      <c r="E27">
        <f t="shared" si="0"/>
        <v>2</v>
      </c>
      <c r="F27" t="str">
        <f t="shared" si="1"/>
        <v>new Major { MaNganh ="7340121", TenNganh = "Kinh doanh thương mại", KhoaId = 2},</v>
      </c>
    </row>
    <row r="28" spans="1:13" x14ac:dyDescent="0.25">
      <c r="A28">
        <v>27</v>
      </c>
      <c r="B28" t="s">
        <v>35</v>
      </c>
      <c r="C28">
        <v>7340122</v>
      </c>
      <c r="D28" t="s">
        <v>26</v>
      </c>
      <c r="E28">
        <f t="shared" si="0"/>
        <v>2</v>
      </c>
      <c r="F28" t="str">
        <f t="shared" si="1"/>
        <v>new Major { MaNganh ="7340122", TenNganh = "Thương mại điện tử", KhoaId = 2},</v>
      </c>
    </row>
    <row r="29" spans="1:13" x14ac:dyDescent="0.25">
      <c r="A29">
        <v>28</v>
      </c>
      <c r="B29" t="s">
        <v>36</v>
      </c>
      <c r="C29">
        <v>7340120</v>
      </c>
      <c r="D29" t="s">
        <v>26</v>
      </c>
      <c r="E29">
        <f t="shared" si="0"/>
        <v>2</v>
      </c>
      <c r="F29" t="str">
        <f t="shared" si="1"/>
        <v>new Major { MaNganh ="7340120", TenNganh = "Kinh doanh quốc tế", KhoaId = 2},</v>
      </c>
    </row>
    <row r="30" spans="1:13" x14ac:dyDescent="0.25">
      <c r="A30">
        <v>29</v>
      </c>
      <c r="B30" t="s">
        <v>37</v>
      </c>
      <c r="C30">
        <v>7310106</v>
      </c>
      <c r="D30" t="s">
        <v>26</v>
      </c>
      <c r="E30">
        <f t="shared" si="0"/>
        <v>2</v>
      </c>
      <c r="F30" t="str">
        <f t="shared" si="1"/>
        <v>new Major { MaNganh ="7310106", TenNganh = "Kinh tế quốc tế", KhoaId = 2},</v>
      </c>
    </row>
    <row r="31" spans="1:13" x14ac:dyDescent="0.25">
      <c r="A31">
        <v>30</v>
      </c>
      <c r="B31" t="s">
        <v>38</v>
      </c>
      <c r="C31">
        <v>7340116</v>
      </c>
      <c r="D31" t="s">
        <v>26</v>
      </c>
      <c r="E31">
        <f t="shared" si="0"/>
        <v>2</v>
      </c>
      <c r="F31" t="str">
        <f t="shared" si="1"/>
        <v>new Major { MaNganh ="7340116", TenNganh = "Bất động sản", KhoaId = 2},</v>
      </c>
    </row>
    <row r="32" spans="1:13" x14ac:dyDescent="0.25">
      <c r="A32">
        <v>31</v>
      </c>
      <c r="B32" t="s">
        <v>39</v>
      </c>
      <c r="C32">
        <v>7510605</v>
      </c>
      <c r="D32" t="s">
        <v>26</v>
      </c>
      <c r="E32">
        <f t="shared" si="0"/>
        <v>2</v>
      </c>
      <c r="F32" t="str">
        <f t="shared" si="1"/>
        <v>new Major { MaNganh ="7510605", TenNganh = "Logistics &amp; quản lý chuỗi cung ứng", KhoaId = 2},</v>
      </c>
    </row>
    <row r="33" spans="1:6" x14ac:dyDescent="0.25">
      <c r="A33">
        <v>32</v>
      </c>
      <c r="B33" t="s">
        <v>40</v>
      </c>
      <c r="C33">
        <v>7310401</v>
      </c>
      <c r="D33" t="s">
        <v>41</v>
      </c>
      <c r="E33">
        <f t="shared" si="0"/>
        <v>15</v>
      </c>
      <c r="F33" t="str">
        <f t="shared" si="1"/>
        <v>new Major { MaNganh ="7310401", TenNganh = "Tâm lý học", KhoaId = 15},</v>
      </c>
    </row>
    <row r="34" spans="1:6" x14ac:dyDescent="0.25">
      <c r="A34">
        <v>33</v>
      </c>
      <c r="B34" t="s">
        <v>42</v>
      </c>
      <c r="C34">
        <v>7320108</v>
      </c>
      <c r="D34" t="s">
        <v>30</v>
      </c>
      <c r="E34">
        <f t="shared" si="0"/>
        <v>4</v>
      </c>
      <c r="F34" t="str">
        <f t="shared" si="1"/>
        <v>new Major { MaNganh ="7320108", TenNganh = "Quan hệ công chúng", KhoaId = 4},</v>
      </c>
    </row>
    <row r="35" spans="1:6" x14ac:dyDescent="0.25">
      <c r="A35">
        <v>34</v>
      </c>
      <c r="B35" t="s">
        <v>43</v>
      </c>
      <c r="C35">
        <v>7340404</v>
      </c>
      <c r="D35" t="s">
        <v>30</v>
      </c>
      <c r="E35">
        <f t="shared" si="0"/>
        <v>4</v>
      </c>
      <c r="F35" t="str">
        <f t="shared" si="1"/>
        <v>new Major { MaNganh ="7340404", TenNganh = "Quản trị nhân lực", KhoaId = 4},</v>
      </c>
    </row>
    <row r="36" spans="1:6" x14ac:dyDescent="0.25">
      <c r="A36">
        <v>35</v>
      </c>
      <c r="B36" t="s">
        <v>44</v>
      </c>
      <c r="C36">
        <v>7810201</v>
      </c>
      <c r="D36" t="s">
        <v>45</v>
      </c>
      <c r="E36">
        <f t="shared" si="0"/>
        <v>5</v>
      </c>
      <c r="F36" t="str">
        <f t="shared" si="1"/>
        <v>new Major { MaNganh ="7810201", TenNganh = "Quản trị khách sạn", KhoaId = 5},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AB4432-33D0-4E67-9559-13EDDF5770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Trường</dc:creator>
  <cp:lastModifiedBy>Giang Trường</cp:lastModifiedBy>
  <dcterms:created xsi:type="dcterms:W3CDTF">2025-07-24T19:08:51Z</dcterms:created>
  <dcterms:modified xsi:type="dcterms:W3CDTF">2025-07-24T19:23:46Z</dcterms:modified>
</cp:coreProperties>
</file>